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DAgost" sheetId="1" r:id="rId1"/>
  </sheets>
  <definedNames>
    <definedName name="DataRange">#REF!</definedName>
    <definedName name="DataRange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" name="ID_2AF9D522D18144299F13E6B99979788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883245" y="703580"/>
          <a:ext cx="15992475" cy="4733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8588EA139AA94064B0AEFC691509512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262735" y="329565"/>
          <a:ext cx="4577080" cy="172783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3C2D6C6629E54EF8900E2EF1004C86ED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692515" y="711200"/>
          <a:ext cx="3637915" cy="13684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<sst xmlns="http://schemas.openxmlformats.org/spreadsheetml/2006/main" count="44" uniqueCount="30">
  <si>
    <t>https://real-statistics.com/tests-normality-and-symmetry/statistical-tests-normality-symmetry/dagostino-pearson-test/</t>
  </si>
  <si>
    <t>D'Agostino-Pearson Test (sample)</t>
  </si>
  <si>
    <t>Frequency Table</t>
  </si>
  <si>
    <t>Skewness Test</t>
  </si>
  <si>
    <t>Kurtosis Test</t>
  </si>
  <si>
    <t>D'Agostino-Pearson Test</t>
  </si>
  <si>
    <t>Bin size</t>
  </si>
  <si>
    <t>size</t>
  </si>
  <si>
    <t>stat</t>
  </si>
  <si>
    <t>alpha</t>
  </si>
  <si>
    <t>p-value</t>
  </si>
  <si>
    <t>=CHISQ.DIST.RT(AB5,2)</t>
  </si>
  <si>
    <t>item</t>
  </si>
  <si>
    <t>freq</t>
  </si>
  <si>
    <t>cum</t>
  </si>
  <si>
    <t>skewness</t>
  </si>
  <si>
    <t>kurtosis</t>
  </si>
  <si>
    <t>Shapiro-Wilk Test</t>
  </si>
  <si>
    <t>s.e.</t>
  </si>
  <si>
    <t>test stat：Zs=skew/s.e.</t>
  </si>
  <si>
    <t>test stat：Zk=kurt/s.e</t>
  </si>
  <si>
    <t>=2*NORM.S.DIST(-ABS(R10),TRUE)</t>
  </si>
  <si>
    <t>=2*NORM.S.DIST(-ABS(W10),TRUE)</t>
  </si>
  <si>
    <t>lower</t>
  </si>
  <si>
    <t>=R8-R9*NORM.S.INV(1-R6/2)</t>
  </si>
  <si>
    <t>=W8-W9*NORM.S.INV(1-W6/2)</t>
  </si>
  <si>
    <t>upper</t>
  </si>
  <si>
    <t>=R8+R9*NORM.S.INV(1-R6/2)</t>
  </si>
  <si>
    <t>=W8+W9*NORM.S.INV(1-W6/2)</t>
  </si>
  <si>
    <t>test stat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</si>
</sst>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2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4" applyNumberFormat="0" applyAlignment="0" applyProtection="0">
      <alignment vertical="center"/>
    </xf>
    <xf numFmtId="0" fontId="11" fillId="5" borderId="15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6" borderId="16" applyNumberFormat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6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0" xfId="0" applyAlignment="1">
      <alignment wrapText="1"/>
    </xf>
    <xf numFmtId="0" fontId="0" fillId="2" borderId="9" xfId="0" applyFill="1" applyBorder="1"/>
    <xf numFmtId="0" fontId="0" fillId="2" borderId="10" xfId="0" applyFill="1" applyBorder="1"/>
    <xf numFmtId="0" fontId="0" fillId="0" borderId="7" xfId="0" applyBorder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delete val="1"/>
          </c:dLbls>
          <c:cat>
            <c:numRef>
              <c:f>DAgost!$E$11:$E$17</c:f>
              <c:numCache>
                <c:formatCode>General</c:formatCode>
                <c:ptCount val="7"/>
                <c:pt idx="0">
                  <c:v>26</c:v>
                </c:pt>
                <c:pt idx="1">
                  <c:v>38</c:v>
                </c:pt>
                <c:pt idx="2">
                  <c:v>50</c:v>
                </c:pt>
                <c:pt idx="3">
                  <c:v>62</c:v>
                </c:pt>
                <c:pt idx="4">
                  <c:v>74</c:v>
                </c:pt>
                <c:pt idx="5">
                  <c:v>86</c:v>
                </c:pt>
                <c:pt idx="6">
                  <c:v>98</c:v>
                </c:pt>
              </c:numCache>
            </c:numRef>
          </c:cat>
          <c:val>
            <c:numRef>
              <c:f>DAgost!$F$11:$F$17</c:f>
              <c:numCache>
                <c:formatCode>General</c:formatCode>
                <c:ptCount val="7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7235192"/>
        <c:axId val="777232840"/>
      </c:barChart>
      <c:catAx>
        <c:axId val="77723519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Bin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77232840"/>
        <c:crosses val="autoZero"/>
        <c:auto val="1"/>
        <c:lblAlgn val="ctr"/>
        <c:lblOffset val="100"/>
        <c:noMultiLvlLbl val="0"/>
      </c:catAx>
      <c:valAx>
        <c:axId val="77723284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7723519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747933d-9367-4b62-9938-47c656a1beb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304165</xdr:colOff>
      <xdr:row>3</xdr:row>
      <xdr:rowOff>55245</xdr:rowOff>
    </xdr:from>
    <xdr:to>
      <xdr:col>12</xdr:col>
      <xdr:colOff>647065</xdr:colOff>
      <xdr:row>13</xdr:row>
      <xdr:rowOff>146050</xdr:rowOff>
    </xdr:to>
    <xdr:graphicFrame>
      <xdr:nvGraphicFramePr>
        <xdr:cNvPr id="2" name="Chart 1"/>
        <xdr:cNvGraphicFramePr/>
      </xdr:nvGraphicFramePr>
      <xdr:xfrm>
        <a:off x="3834765" y="582930"/>
        <a:ext cx="3571875" cy="220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eal-statistics.com/tests-normality-and-symmetry/statistical-tests-normality-symmetry/dagostino-pearson-test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2"/>
  <sheetViews>
    <sheetView tabSelected="1" topLeftCell="B1" workbookViewId="0">
      <selection activeCell="R11" sqref="R11"/>
    </sheetView>
  </sheetViews>
  <sheetFormatPr defaultColWidth="9" defaultRowHeight="13.85"/>
  <cols>
    <col min="1" max="1" width="3.20353982300885" customWidth="1"/>
    <col min="2" max="3" width="5" customWidth="1"/>
    <col min="13" max="13" width="9.20353982300885" customWidth="1"/>
    <col min="15" max="15" width="13.2743362831858"/>
    <col min="17" max="17" width="11.8672566371681" customWidth="1"/>
    <col min="18" max="18" width="13.2743362831858"/>
    <col min="19" max="19" width="3.73451327433628" customWidth="1"/>
    <col min="20" max="20" width="39.7345132743363" customWidth="1"/>
    <col min="21" max="21" width="13.2743362831858"/>
    <col min="22" max="22" width="10.2300884955752" customWidth="1"/>
    <col min="23" max="23" width="13.858407079646"/>
    <col min="24" max="24" width="3.73451327433628" customWidth="1"/>
    <col min="25" max="25" width="51.5309734513274" customWidth="1"/>
    <col min="27" max="28" width="13.2743362831858"/>
    <col min="29" max="29" width="3.73451327433628" customWidth="1"/>
    <col min="30" max="30" width="21" customWidth="1"/>
  </cols>
  <sheetData>
    <row r="1" spans="1:3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3" spans="1:30">
      <c r="A3" s="3" t="s">
        <v>1</v>
      </c>
    </row>
    <row r="5" ht="28.3" spans="1:30">
      <c r="E5" t="s">
        <v>2</v>
      </c>
      <c r="Q5" s="4" t="s">
        <v>3</v>
      </c>
      <c r="R5" t="str">
        <f>_xlfn.DISPIMG("ID_3C2D6C6629E54EF8900E2EF1004C86ED",1)</f>
        <v>=DISPIMG("ID_3C2D6C6629E54EF8900E2EF1004C86ED",1)</v>
      </c>
      <c r="V5" s="4" t="s">
        <v>4</v>
      </c>
      <c r="W5" t="str">
        <f>_xlfn.DISPIMG("ID_8588EA139AA94064B0AEFC691509512A",1)</f>
        <v>=DISPIMG("ID_8588EA139AA94064B0AEFC691509512A",1)</v>
      </c>
      <c r="AA5" s="4" t="s">
        <v>5</v>
      </c>
      <c r="AB5" t="str">
        <f>_xlfn.DISPIMG("ID_2AF9D522D18144299F13E6B999797886",1)</f>
        <v>=DISPIMG("ID_2AF9D522D18144299F13E6B999797886",1)</v>
      </c>
    </row>
    <row r="6" spans="1:30">
      <c r="B6" s="5">
        <v>34</v>
      </c>
      <c r="C6" s="6">
        <v>50</v>
      </c>
    </row>
    <row r="7" spans="1:30">
      <c r="B7" s="7">
        <v>56</v>
      </c>
      <c r="C7" s="8">
        <v>62</v>
      </c>
      <c r="E7" t="s">
        <v>6</v>
      </c>
      <c r="F7">
        <v>12</v>
      </c>
      <c r="Q7" t="s">
        <v>7</v>
      </c>
      <c r="R7" s="9">
        <f>COUNT(B6:C17)</f>
        <v>24</v>
      </c>
      <c r="T7" t="e">
        <f>FTEXT(R7)</f>
        <v>#NAME?</v>
      </c>
      <c r="V7" t="s">
        <v>7</v>
      </c>
      <c r="W7" s="9">
        <f>COUNT(B6:C17)</f>
        <v>24</v>
      </c>
      <c r="Y7" t="e">
        <f>FTEXT(W7)</f>
        <v>#NAME?</v>
      </c>
      <c r="AA7" t="s">
        <v>8</v>
      </c>
      <c r="AB7" s="10">
        <f>R12^2+W12^2</f>
        <v>0.90425586277437</v>
      </c>
      <c r="AD7" t="e">
        <f>FTEXT(AB7)</f>
        <v>#NAME?</v>
      </c>
    </row>
    <row r="8" spans="1:30">
      <c r="B8" s="7">
        <v>39</v>
      </c>
      <c r="C8" s="8">
        <v>75</v>
      </c>
      <c r="Q8" t="s">
        <v>9</v>
      </c>
      <c r="R8" s="11">
        <v>0.05</v>
      </c>
      <c r="V8" t="s">
        <v>9</v>
      </c>
      <c r="W8" s="11">
        <v>0.05</v>
      </c>
      <c r="AA8" t="s">
        <v>10</v>
      </c>
      <c r="AB8" s="11">
        <f>CHIDIST(AB7,2)</f>
        <v>0.636272765260617</v>
      </c>
      <c r="AD8" s="18" t="s">
        <v>11</v>
      </c>
    </row>
    <row r="9" spans="1:30">
      <c r="B9" s="7">
        <v>71</v>
      </c>
      <c r="C9" s="8">
        <v>44</v>
      </c>
      <c r="E9" s="12" t="s">
        <v>12</v>
      </c>
      <c r="F9" s="12" t="s">
        <v>13</v>
      </c>
      <c r="G9" s="12" t="s">
        <v>14</v>
      </c>
    </row>
    <row r="10" spans="1:30">
      <c r="B10" s="7">
        <v>84</v>
      </c>
      <c r="C10" s="8">
        <v>88</v>
      </c>
      <c r="E10">
        <f>E11-$F$7</f>
        <v>14</v>
      </c>
      <c r="Q10" t="s">
        <v>15</v>
      </c>
      <c r="R10" s="10">
        <f>SKEW(B6:C17)</f>
        <v>0.195700749750972</v>
      </c>
      <c r="T10" t="e">
        <f>FTEXT(R10)</f>
        <v>#NAME?</v>
      </c>
      <c r="V10" t="s">
        <v>16</v>
      </c>
      <c r="W10" s="10">
        <f>KURT(B6:C17)</f>
        <v>-0.785509837227702</v>
      </c>
      <c r="Y10" t="e">
        <f>FTEXT(W10)</f>
        <v>#NAME?</v>
      </c>
      <c r="AA10" t="s">
        <v>17</v>
      </c>
    </row>
    <row r="11" spans="1:30">
      <c r="B11" s="7">
        <v>92</v>
      </c>
      <c r="C11" s="8">
        <v>53</v>
      </c>
      <c r="E11">
        <f t="shared" ref="E11:E16" si="0">E12-$F$7</f>
        <v>26</v>
      </c>
      <c r="F11">
        <f>G11-G10</f>
        <v>1</v>
      </c>
      <c r="G11">
        <f t="shared" ref="G11:G17" si="1">COUNTIF($B$6:$C$17,"&lt;="&amp;E11)</f>
        <v>1</v>
      </c>
      <c r="Q11" t="s">
        <v>18</v>
      </c>
      <c r="R11" s="13">
        <f>SQRT(6*R7*(R7-1)/((R7-2)*(R7+1)*(R7+3)))</f>
        <v>0.472260842152198</v>
      </c>
      <c r="T11" t="e">
        <f>FTEXT(R11)</f>
        <v>#NAME?</v>
      </c>
      <c r="V11" t="s">
        <v>18</v>
      </c>
      <c r="W11" s="13">
        <f>2*(W7-1)*SQRT(6*W7/((W7-2)*(W7-3)*(W7+3)*(W7+5)))</f>
        <v>0.917777082601901</v>
      </c>
      <c r="Y11" t="e">
        <f>FTEXT(W11)</f>
        <v>#NAME?</v>
      </c>
    </row>
    <row r="12" ht="27.75" spans="1:30">
      <c r="B12" s="7">
        <v>44</v>
      </c>
      <c r="C12" s="8">
        <v>61</v>
      </c>
      <c r="E12">
        <f t="shared" si="0"/>
        <v>38</v>
      </c>
      <c r="F12">
        <f t="shared" ref="F12:F17" si="2">G12-G11</f>
        <v>3</v>
      </c>
      <c r="G12">
        <f t="shared" si="1"/>
        <v>4</v>
      </c>
      <c r="Q12" s="14" t="s">
        <v>19</v>
      </c>
      <c r="R12" s="13">
        <f>R10/R11</f>
        <v>0.414391226804069</v>
      </c>
      <c r="T12" t="e">
        <f>FTEXT(R12)</f>
        <v>#NAME?</v>
      </c>
      <c r="V12" s="14" t="s">
        <v>20</v>
      </c>
      <c r="W12" s="13">
        <f>W10/W11</f>
        <v>-0.855883037524514</v>
      </c>
      <c r="Y12" t="e">
        <f>FTEXT(W12)</f>
        <v>#NAME?</v>
      </c>
      <c r="AA12" t="s">
        <v>8</v>
      </c>
      <c r="AB12" s="10"/>
      <c r="AD12" t="e">
        <f>FTEXT(AB12)</f>
        <v>#NAME?</v>
      </c>
    </row>
    <row r="13" spans="1:30">
      <c r="B13" s="7">
        <v>67</v>
      </c>
      <c r="C13" s="8">
        <v>25</v>
      </c>
      <c r="E13">
        <f t="shared" si="0"/>
        <v>50</v>
      </c>
      <c r="F13">
        <f t="shared" si="2"/>
        <v>5</v>
      </c>
      <c r="G13">
        <f t="shared" si="1"/>
        <v>9</v>
      </c>
      <c r="Q13" t="s">
        <v>10</v>
      </c>
      <c r="R13" s="13">
        <f>2*NORMSDIST(-ABS(R12))</f>
        <v>0.678587612976682</v>
      </c>
      <c r="T13" s="18" t="s">
        <v>21</v>
      </c>
      <c r="V13" t="s">
        <v>10</v>
      </c>
      <c r="W13" s="13">
        <f>2*NORMSDIST(-ABS(W12))</f>
        <v>0.392062478323808</v>
      </c>
      <c r="Y13" s="18" t="s">
        <v>22</v>
      </c>
      <c r="AA13" t="s">
        <v>10</v>
      </c>
      <c r="AB13" s="11" t="e">
        <f>SWTEST(B6:C17)</f>
        <v>#NAME?</v>
      </c>
      <c r="AD13" t="e">
        <f>FTEXT(AB13)</f>
        <v>#NAME?</v>
      </c>
    </row>
    <row r="14" spans="1:30">
      <c r="B14" s="7">
        <v>98</v>
      </c>
      <c r="C14" s="8">
        <v>36</v>
      </c>
      <c r="E14">
        <f t="shared" si="0"/>
        <v>62</v>
      </c>
      <c r="F14">
        <f t="shared" si="2"/>
        <v>5</v>
      </c>
      <c r="G14">
        <f t="shared" si="1"/>
        <v>14</v>
      </c>
      <c r="Q14" t="s">
        <v>23</v>
      </c>
      <c r="R14" s="13">
        <f>R10-R11*NORMSINV(1-R8/2)</f>
        <v>-0.729913492175891</v>
      </c>
      <c r="T14" s="18" t="s">
        <v>24</v>
      </c>
      <c r="V14" t="s">
        <v>23</v>
      </c>
      <c r="W14" s="13">
        <f>W10-W11*NORMSINV(1-W8/2)</f>
        <v>-2.58431986496367</v>
      </c>
      <c r="Y14" s="18" t="s">
        <v>25</v>
      </c>
    </row>
    <row r="15" spans="1:30">
      <c r="B15" s="7">
        <v>49</v>
      </c>
      <c r="C15" s="8">
        <v>66</v>
      </c>
      <c r="E15">
        <f t="shared" si="0"/>
        <v>74</v>
      </c>
      <c r="F15">
        <f t="shared" si="2"/>
        <v>4</v>
      </c>
      <c r="G15">
        <f t="shared" si="1"/>
        <v>18</v>
      </c>
      <c r="Q15" t="s">
        <v>26</v>
      </c>
      <c r="R15" s="11">
        <f>R10+R11*NORMSINV(1-R8/2)</f>
        <v>1.12131499167783</v>
      </c>
      <c r="T15" s="18" t="s">
        <v>27</v>
      </c>
      <c r="V15" t="s">
        <v>26</v>
      </c>
      <c r="W15" s="11">
        <f>W10+W11*NORMSINV(1-W8/2)</f>
        <v>1.01330019050827</v>
      </c>
      <c r="Y15" s="18" t="s">
        <v>28</v>
      </c>
    </row>
    <row r="16" spans="1:30">
      <c r="B16" s="7">
        <v>55</v>
      </c>
      <c r="C16" s="8">
        <v>77</v>
      </c>
      <c r="E16">
        <f t="shared" si="0"/>
        <v>86</v>
      </c>
      <c r="F16">
        <f t="shared" si="2"/>
        <v>3</v>
      </c>
      <c r="G16">
        <f t="shared" si="1"/>
        <v>21</v>
      </c>
    </row>
    <row r="17" spans="2:30">
      <c r="B17" s="15">
        <v>73</v>
      </c>
      <c r="C17" s="16">
        <v>35</v>
      </c>
      <c r="E17" s="17">
        <f>MAX(B6:C17)</f>
        <v>98</v>
      </c>
      <c r="F17" s="17">
        <f t="shared" si="2"/>
        <v>3</v>
      </c>
      <c r="G17" s="17">
        <f t="shared" si="1"/>
        <v>24</v>
      </c>
    </row>
    <row r="20" spans="2:30">
      <c r="E20" t="e">
        <f>FTEXT(E22)</f>
        <v>#NAME?</v>
      </c>
      <c r="H20" t="e">
        <f>FTEXT(H22)</f>
        <v>#NAME?</v>
      </c>
      <c r="Q20" t="e">
        <f t="array" ref="Q20:R25">SKEWTEST(B6:C17,TRUE)</f>
        <v>#NAME?</v>
      </c>
      <c r="R20" s="10" t="e">
        <v>#NAME?</v>
      </c>
      <c r="T20" t="e">
        <f>FTEXT(Q20)</f>
        <v>#NAME?</v>
      </c>
      <c r="V20" t="e">
        <f t="array" ref="V20:W25">KURTTEST(B6:C17,TRUE)</f>
        <v>#NAME?</v>
      </c>
      <c r="W20" s="10" t="e">
        <v>#NAME?</v>
      </c>
      <c r="Y20" t="e">
        <f>FTEXT(V20)</f>
        <v>#NAME?</v>
      </c>
      <c r="AA20" t="s">
        <v>8</v>
      </c>
      <c r="AB20" s="10" t="e">
        <f>DAGOSTINO(B6:C17,FALSE)</f>
        <v>#NAME?</v>
      </c>
      <c r="AD20" t="e">
        <f>FTEXT(AB20)</f>
        <v>#NAME?</v>
      </c>
    </row>
    <row r="21" spans="2:30">
      <c r="Q21" t="e">
        <v>#NAME?</v>
      </c>
      <c r="R21" s="13" t="e">
        <v>#NAME?</v>
      </c>
      <c r="V21" t="e">
        <v>#NAME?</v>
      </c>
      <c r="W21" s="13" t="e">
        <v>#NAME?</v>
      </c>
      <c r="AA21" t="s">
        <v>10</v>
      </c>
      <c r="AB21" s="11" t="e">
        <f>DPTEST(B6:C17,FALSE)</f>
        <v>#NAME?</v>
      </c>
      <c r="AD21" t="e">
        <f>FTEXT(AB21)</f>
        <v>#NAME?</v>
      </c>
    </row>
    <row r="22" spans="2:30">
      <c r="E22" t="e">
        <f t="array" ref="E22:F26">SKEWTEST(B6:C17,TRUE)</f>
        <v>#NAME?</v>
      </c>
      <c r="F22" s="10" t="e">
        <v>#NAME?</v>
      </c>
      <c r="H22" t="e">
        <f t="array" ref="H22:I26">KURTTEST(B6:C17,TRUE)</f>
        <v>#NAME?</v>
      </c>
      <c r="I22" s="10" t="e">
        <v>#NAME?</v>
      </c>
      <c r="K22" t="s">
        <v>29</v>
      </c>
      <c r="L22" s="10" t="e">
        <f>DAGOSTINO(B6:C17,FALSE)</f>
        <v>#NAME?</v>
      </c>
      <c r="M22" t="e">
        <f>FTEXT(L22)</f>
        <v>#NAME?</v>
      </c>
      <c r="Q22" t="e">
        <v>#NAME?</v>
      </c>
      <c r="R22" s="13" t="e">
        <v>#NAME?</v>
      </c>
      <c r="V22" t="e">
        <v>#NAME?</v>
      </c>
      <c r="W22" s="13" t="e">
        <v>#NAME?</v>
      </c>
    </row>
    <row r="23" spans="2:30">
      <c r="E23" t="e">
        <v>#NAME?</v>
      </c>
      <c r="F23" s="13" t="e">
        <v>#NAME?</v>
      </c>
      <c r="H23" t="e">
        <v>#NAME?</v>
      </c>
      <c r="I23" s="13" t="e">
        <v>#NAME?</v>
      </c>
      <c r="K23" t="s">
        <v>10</v>
      </c>
      <c r="L23" s="11" t="e">
        <f>DPTEST(B6:C17,FALSE)</f>
        <v>#NAME?</v>
      </c>
      <c r="M23" t="e">
        <f>FTEXT(L23)</f>
        <v>#NAME?</v>
      </c>
      <c r="Q23" t="e">
        <v>#NAME?</v>
      </c>
      <c r="R23" s="13" t="e">
        <v>#NAME?</v>
      </c>
      <c r="V23" t="e">
        <v>#NAME?</v>
      </c>
      <c r="W23" s="13" t="e">
        <v>#NAME?</v>
      </c>
    </row>
    <row r="24" spans="2:30">
      <c r="E24" t="e">
        <v>#NAME?</v>
      </c>
      <c r="F24" s="13" t="e">
        <v>#NAME?</v>
      </c>
      <c r="H24" t="e">
        <v>#NAME?</v>
      </c>
      <c r="I24" s="13" t="e">
        <v>#NAME?</v>
      </c>
      <c r="Q24" t="e">
        <v>#NAME?</v>
      </c>
      <c r="R24" s="13" t="e">
        <v>#NAME?</v>
      </c>
      <c r="V24" t="e">
        <v>#NAME?</v>
      </c>
      <c r="W24" s="13" t="e">
        <v>#NAME?</v>
      </c>
    </row>
    <row r="25" spans="2:30">
      <c r="E25" t="e">
        <v>#NAME?</v>
      </c>
      <c r="F25" s="13" t="e">
        <v>#NAME?</v>
      </c>
      <c r="H25" t="e">
        <v>#NAME?</v>
      </c>
      <c r="I25" s="13" t="e">
        <v>#NAME?</v>
      </c>
      <c r="K25" t="s">
        <v>29</v>
      </c>
      <c r="L25" s="10" t="e">
        <f>DAGOSTINO(B6:C17)</f>
        <v>#NAME?</v>
      </c>
      <c r="M25" t="e">
        <f>FTEXT(L25)</f>
        <v>#NAME?</v>
      </c>
      <c r="Q25" t="e">
        <v>#NAME?</v>
      </c>
      <c r="R25" s="11" t="e">
        <v>#NAME?</v>
      </c>
      <c r="V25" t="e">
        <v>#NAME?</v>
      </c>
      <c r="W25" s="11" t="e">
        <v>#NAME?</v>
      </c>
    </row>
    <row r="26" spans="2:30">
      <c r="E26" t="e">
        <v>#NAME?</v>
      </c>
      <c r="F26" s="11" t="e">
        <v>#NAME?</v>
      </c>
      <c r="H26" t="e">
        <v>#NAME?</v>
      </c>
      <c r="I26" s="11" t="e">
        <v>#NAME?</v>
      </c>
      <c r="K26" t="s">
        <v>10</v>
      </c>
      <c r="L26" s="11" t="e">
        <f>DPTEST(B6:C17)</f>
        <v>#NAME?</v>
      </c>
      <c r="M26" t="e">
        <f>FTEXT(L26)</f>
        <v>#NAME?</v>
      </c>
    </row>
    <row r="28" spans="2:30">
      <c r="E28" t="e">
        <f>FTEXT(E30)</f>
        <v>#NAME?</v>
      </c>
      <c r="H28" t="e">
        <f>FTEXT(H30)</f>
        <v>#NAME?</v>
      </c>
    </row>
    <row r="30" spans="2:30">
      <c r="E30" t="e">
        <f t="array" ref="E30:F32">SKEWPTEST(B6:C17,TRUE)</f>
        <v>#NAME?</v>
      </c>
      <c r="F30" s="10" t="e">
        <v>#NAME?</v>
      </c>
      <c r="H30" t="e">
        <f t="array" ref="H30:I32">KURTPTEST(B6:C17,TRUE)</f>
        <v>#NAME?</v>
      </c>
      <c r="I30" s="10" t="e">
        <v>#NAME?</v>
      </c>
    </row>
    <row r="31" spans="2:30">
      <c r="E31" t="e">
        <v>#NAME?</v>
      </c>
      <c r="F31" s="13" t="e">
        <v>#NAME?</v>
      </c>
      <c r="H31" t="e">
        <v>#NAME?</v>
      </c>
      <c r="I31" s="13" t="e">
        <v>#NAME?</v>
      </c>
    </row>
    <row r="32" spans="2:30">
      <c r="E32" t="e">
        <v>#NAME?</v>
      </c>
      <c r="F32" s="11" t="e">
        <v>#NAME?</v>
      </c>
      <c r="H32" t="e">
        <v>#NAME?</v>
      </c>
      <c r="I32" s="11" t="e">
        <v>#NAME?</v>
      </c>
    </row>
  </sheetData>
  <mergeCells count="1">
    <mergeCell ref="A1:R1"/>
  </mergeCells>
  <hyperlinks>
    <hyperlink ref="A1" r:id="rId2" display="https://real-statistics.com/tests-normality-and-symmetry/statistical-tests-normality-symmetry/dagostino-pearson-test/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DAgost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Zaiontz</dc:creator>
  <cp:lastModifiedBy>假痴不癫</cp:lastModifiedBy>
  <dcterms:created xsi:type="dcterms:W3CDTF">2024-07-09T07:58:00Z</dcterms:created>
  <dcterms:modified xsi:type="dcterms:W3CDTF">2026-05-19T13:55:36Z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C59B0C223F7E4A6AAFCCB5DBBB7A59B3_12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